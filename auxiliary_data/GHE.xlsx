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urerst\git\anonymization-review-fork\auxiliary_data\"/>
    </mc:Choice>
  </mc:AlternateContent>
  <xr:revisionPtr revIDLastSave="0" documentId="13_ncr:1_{65681CBE-4E53-47BE-9A84-C487E0AF171A}" xr6:coauthVersionLast="36" xr6:coauthVersionMax="36" xr10:uidLastSave="{00000000-0000-0000-0000-000000000000}"/>
  <bookViews>
    <workbookView xWindow="0" yWindow="0" windowWidth="8304" windowHeight="4512" activeTab="2" xr2:uid="{34061D47-98F9-43FC-9E51-B12C99A01ED8}"/>
  </bookViews>
  <sheets>
    <sheet name="Source" sheetId="1" r:id="rId1"/>
    <sheet name="Statistics" sheetId="2" r:id="rId2"/>
    <sheet name="Tabelle4" sheetId="4" r:id="rId3"/>
    <sheet name="Mapping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4" l="1"/>
  <c r="C19" i="4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2" i="2"/>
  <c r="R18" i="2"/>
  <c r="S18" i="2"/>
  <c r="X10" i="2" s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2" i="2"/>
  <c r="L18" i="2"/>
  <c r="M18" i="2"/>
  <c r="N18" i="2"/>
  <c r="K18" i="2"/>
  <c r="L16" i="2"/>
  <c r="M16" i="2"/>
  <c r="N16" i="2"/>
  <c r="K16" i="2"/>
  <c r="L11" i="2"/>
  <c r="M11" i="2"/>
  <c r="N11" i="2"/>
  <c r="K11" i="2"/>
  <c r="L6" i="2"/>
  <c r="M6" i="2"/>
  <c r="N6" i="2"/>
  <c r="K6" i="2"/>
  <c r="L5" i="2"/>
  <c r="M5" i="2"/>
  <c r="N5" i="2"/>
  <c r="K5" i="2"/>
  <c r="L4" i="2"/>
  <c r="M4" i="2"/>
  <c r="N4" i="2"/>
  <c r="K4" i="2"/>
  <c r="L3" i="2"/>
  <c r="M3" i="2"/>
  <c r="N3" i="2"/>
  <c r="K3" i="2"/>
  <c r="X12" i="2" l="1"/>
  <c r="X11" i="2"/>
  <c r="X2" i="2"/>
  <c r="X9" i="2"/>
  <c r="X16" i="2"/>
  <c r="X8" i="2"/>
  <c r="X15" i="2"/>
  <c r="X7" i="2"/>
  <c r="X14" i="2"/>
  <c r="X6" i="2"/>
  <c r="X13" i="2"/>
  <c r="X5" i="2"/>
  <c r="X4" i="2"/>
  <c r="X3" i="2"/>
</calcChain>
</file>

<file path=xl/sharedStrings.xml><?xml version="1.0" encoding="utf-8"?>
<sst xmlns="http://schemas.openxmlformats.org/spreadsheetml/2006/main" count="223" uniqueCount="43">
  <si>
    <t>Disease area</t>
  </si>
  <si>
    <t>ICD codes</t>
  </si>
  <si>
    <t>GHE causes</t>
  </si>
  <si>
    <t>Infectious and parasitic diseases</t>
  </si>
  <si>
    <t>Deaths (Low-income economies)</t>
  </si>
  <si>
    <t>Deaths (Lower-middle-income economies)</t>
  </si>
  <si>
    <t>Deaths (Upper-middle-income  economies)</t>
  </si>
  <si>
    <t>Death (High-income ecnomonies)</t>
  </si>
  <si>
    <t>10, 22</t>
  </si>
  <si>
    <t xml:space="preserve">Respiratory diseases </t>
  </si>
  <si>
    <t>Respiratory Infectious</t>
  </si>
  <si>
    <t>Respiratory Infectious and diseases</t>
  </si>
  <si>
    <t>Malignant neoplasms</t>
  </si>
  <si>
    <t>Neoplasms</t>
  </si>
  <si>
    <t>Other neoplasms</t>
  </si>
  <si>
    <t>Diabetes mellitus</t>
  </si>
  <si>
    <t>Endocrine, blood, immune disorders</t>
  </si>
  <si>
    <t>Nutritional deficiencies</t>
  </si>
  <si>
    <t>Mental and substance use disorders</t>
  </si>
  <si>
    <t>Neurological conditions</t>
  </si>
  <si>
    <t>5, 6</t>
  </si>
  <si>
    <t>Mental and neurological conditions</t>
  </si>
  <si>
    <t>Cardiovascular diseases</t>
  </si>
  <si>
    <t>Maternal conditions</t>
  </si>
  <si>
    <t>Neonatal conditions</t>
  </si>
  <si>
    <t>Sense organ diseases</t>
  </si>
  <si>
    <t>Digestive diseases</t>
  </si>
  <si>
    <t>Genitourinary diseases</t>
  </si>
  <si>
    <t>Skin diseases</t>
  </si>
  <si>
    <t>Musculoskeletal diseases</t>
  </si>
  <si>
    <t>Congenital anomalies</t>
  </si>
  <si>
    <t>Oral conditions</t>
  </si>
  <si>
    <t>Sudden infant death syndrome</t>
  </si>
  <si>
    <t>Unintentional injuries</t>
  </si>
  <si>
    <t>Intentional injuries</t>
  </si>
  <si>
    <t>4, 14</t>
  </si>
  <si>
    <t>Injuries</t>
  </si>
  <si>
    <t>Endocrine, Metabolic, Immune and Genitourinary Disorders</t>
  </si>
  <si>
    <t>Total sum</t>
  </si>
  <si>
    <t>Total according to GEHE</t>
  </si>
  <si>
    <t>3, 4, 14</t>
  </si>
  <si>
    <t>Deaths (Non-high-income economies)</t>
  </si>
  <si>
    <t>Deaths (High-income economies)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</si>
</sst>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8DB4E2"/>
        <bgColor indexed="64"/>
      </patternFill>
    </fill>
  </fills>
  <borders count="2">
    <border>
      <left/>
      <right/>
      <top/>
      <bottom/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3" fontId="1" fillId="2" borderId="0" xfId="0" applyNumberFormat="1" applyFont="1" applyFill="1" applyAlignment="1">
      <alignment vertical="center"/>
    </xf>
    <xf numFmtId="0" fontId="1" fillId="2" borderId="0" xfId="0" applyFont="1" applyFill="1"/>
    <xf numFmtId="3" fontId="0" fillId="0" borderId="0" xfId="0" applyNumberFormat="1"/>
    <xf numFmtId="3" fontId="1" fillId="3" borderId="1" xfId="0" applyNumberFormat="1" applyFont="1" applyFill="1" applyBorder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3C50-BC8B-4012-B0B2-2EFA9E0F34E3}">
  <dimension ref="A1:I24"/>
  <sheetViews>
    <sheetView workbookViewId="0">
      <selection activeCell="B44" sqref="B44"/>
    </sheetView>
  </sheetViews>
  <sheetFormatPr baseColWidth="10" defaultRowHeight="14.4" x14ac:dyDescent="0.3"/>
  <cols>
    <col min="1" max="1" width="35.6640625" customWidth="1"/>
    <col min="2" max="2" width="24.44140625" customWidth="1"/>
    <col min="3" max="3" width="15.33203125" customWidth="1"/>
    <col min="4" max="4" width="15.21875" customWidth="1"/>
    <col min="7" max="7" width="15.77734375" customWidth="1"/>
    <col min="8" max="8" width="16.44140625" customWidth="1"/>
  </cols>
  <sheetData>
    <row r="1" spans="1:9" s="1" customFormat="1" ht="55.2" customHeight="1" x14ac:dyDescent="0.3">
      <c r="A1" s="1" t="s">
        <v>0</v>
      </c>
      <c r="B1" s="1" t="s">
        <v>2</v>
      </c>
      <c r="C1" s="1" t="s">
        <v>1</v>
      </c>
      <c r="D1" s="1" t="s">
        <v>4</v>
      </c>
      <c r="E1" s="1" t="s">
        <v>5</v>
      </c>
      <c r="F1" s="1" t="s">
        <v>6</v>
      </c>
      <c r="G1" s="1" t="s">
        <v>7</v>
      </c>
    </row>
    <row r="2" spans="1:9" x14ac:dyDescent="0.3">
      <c r="A2" t="s">
        <v>3</v>
      </c>
      <c r="B2" t="s">
        <v>3</v>
      </c>
      <c r="C2">
        <v>1</v>
      </c>
      <c r="D2">
        <v>1185</v>
      </c>
      <c r="E2" s="2">
        <v>2824.3546580759698</v>
      </c>
      <c r="F2" s="2">
        <v>737.20417131130898</v>
      </c>
      <c r="G2" s="2">
        <v>266.04208744717602</v>
      </c>
      <c r="H2" s="2"/>
      <c r="I2" s="2"/>
    </row>
    <row r="3" spans="1:9" x14ac:dyDescent="0.3">
      <c r="A3" t="s">
        <v>11</v>
      </c>
      <c r="B3" t="s">
        <v>10</v>
      </c>
      <c r="C3" t="s">
        <v>8</v>
      </c>
      <c r="D3" s="2">
        <v>686.43442113557296</v>
      </c>
      <c r="E3" s="2">
        <v>5009.2308456604596</v>
      </c>
      <c r="F3" s="2">
        <v>3280.2091151199702</v>
      </c>
      <c r="G3" s="2">
        <v>2185.4344526479899</v>
      </c>
      <c r="H3" s="2"/>
      <c r="I3" s="2"/>
    </row>
    <row r="4" spans="1:9" x14ac:dyDescent="0.3">
      <c r="A4" t="s">
        <v>11</v>
      </c>
      <c r="B4" t="s">
        <v>9</v>
      </c>
      <c r="C4" t="s">
        <v>8</v>
      </c>
      <c r="D4" s="2">
        <v>147.22433336095801</v>
      </c>
      <c r="E4" s="2">
        <v>1700.8071188439999</v>
      </c>
      <c r="F4" s="2">
        <v>1742.23986636316</v>
      </c>
      <c r="G4" s="2">
        <v>674.082837230932</v>
      </c>
      <c r="H4" s="2"/>
      <c r="I4" s="2"/>
    </row>
    <row r="5" spans="1:9" x14ac:dyDescent="0.3">
      <c r="A5" t="s">
        <v>13</v>
      </c>
      <c r="B5" t="s">
        <v>12</v>
      </c>
      <c r="C5">
        <v>2</v>
      </c>
      <c r="D5" s="2">
        <v>343.184749601568</v>
      </c>
      <c r="E5" s="2">
        <v>2014.27359353055</v>
      </c>
      <c r="F5" s="2">
        <v>4244.54714948128</v>
      </c>
      <c r="G5" s="2">
        <v>3116.8988967045698</v>
      </c>
      <c r="H5" s="2"/>
      <c r="I5" s="2"/>
    </row>
    <row r="6" spans="1:9" x14ac:dyDescent="0.3">
      <c r="A6" t="s">
        <v>13</v>
      </c>
      <c r="B6" s="3" t="s">
        <v>14</v>
      </c>
      <c r="C6">
        <v>2</v>
      </c>
      <c r="D6" s="2">
        <v>0.105818243916752</v>
      </c>
      <c r="E6" s="2">
        <v>8.6593989591223401</v>
      </c>
      <c r="F6" s="2">
        <v>30.202064344130701</v>
      </c>
      <c r="G6" s="2">
        <v>97.502846141161001</v>
      </c>
      <c r="H6" s="2"/>
      <c r="I6" s="2"/>
    </row>
    <row r="7" spans="1:9" x14ac:dyDescent="0.3">
      <c r="A7" t="s">
        <v>37</v>
      </c>
      <c r="B7" t="s">
        <v>15</v>
      </c>
      <c r="C7">
        <v>4</v>
      </c>
      <c r="D7" s="2">
        <v>99.552023082781602</v>
      </c>
      <c r="E7" s="2">
        <v>667.14898764316899</v>
      </c>
      <c r="F7" s="2">
        <v>566.668078604774</v>
      </c>
      <c r="G7" s="2">
        <v>259.90953067957298</v>
      </c>
      <c r="H7" s="2"/>
      <c r="I7" s="2"/>
    </row>
    <row r="8" spans="1:9" x14ac:dyDescent="0.3">
      <c r="A8" t="s">
        <v>37</v>
      </c>
      <c r="B8" t="s">
        <v>16</v>
      </c>
      <c r="C8">
        <v>3</v>
      </c>
      <c r="D8" s="2">
        <v>28.368512435032901</v>
      </c>
      <c r="E8" s="2">
        <v>65.585850358602798</v>
      </c>
      <c r="F8" s="2">
        <v>71.008390777323399</v>
      </c>
      <c r="G8" s="2">
        <v>146.436923734121</v>
      </c>
      <c r="H8" s="2"/>
      <c r="I8" s="2"/>
    </row>
    <row r="9" spans="1:9" x14ac:dyDescent="0.3">
      <c r="A9" t="s">
        <v>37</v>
      </c>
      <c r="B9" t="s">
        <v>17</v>
      </c>
      <c r="C9">
        <v>4</v>
      </c>
      <c r="D9" s="2">
        <v>63.585784912334901</v>
      </c>
      <c r="E9" s="2">
        <v>74.661349053753398</v>
      </c>
      <c r="F9" s="2">
        <v>70.419236844857906</v>
      </c>
      <c r="G9" s="2">
        <v>47.040637899838799</v>
      </c>
      <c r="H9" s="2"/>
      <c r="I9" s="2"/>
    </row>
    <row r="10" spans="1:9" x14ac:dyDescent="0.3">
      <c r="A10" t="s">
        <v>37</v>
      </c>
      <c r="B10" s="3" t="s">
        <v>27</v>
      </c>
      <c r="C10" t="s">
        <v>35</v>
      </c>
      <c r="D10" s="2">
        <v>125.73914107220899</v>
      </c>
      <c r="E10" s="2">
        <v>567.28408106065899</v>
      </c>
      <c r="F10" s="2">
        <v>612.90669733790799</v>
      </c>
      <c r="G10" s="2">
        <v>438.67978600178299</v>
      </c>
      <c r="H10" s="2"/>
      <c r="I10" s="2"/>
    </row>
    <row r="11" spans="1:9" x14ac:dyDescent="0.3">
      <c r="A11" t="s">
        <v>21</v>
      </c>
      <c r="B11" t="s">
        <v>18</v>
      </c>
      <c r="C11">
        <v>5</v>
      </c>
      <c r="D11" s="2">
        <v>9.0689673210377393</v>
      </c>
      <c r="E11" s="2">
        <v>49.5690194881983</v>
      </c>
      <c r="F11" s="2">
        <v>70.870916631747505</v>
      </c>
      <c r="G11" s="2">
        <v>217.786704983654</v>
      </c>
      <c r="H11" s="2"/>
      <c r="I11" s="2"/>
    </row>
    <row r="12" spans="1:9" x14ac:dyDescent="0.3">
      <c r="A12" t="s">
        <v>21</v>
      </c>
      <c r="B12" s="3" t="s">
        <v>19</v>
      </c>
      <c r="C12" t="s">
        <v>20</v>
      </c>
      <c r="D12" s="2">
        <v>76.800594483861602</v>
      </c>
      <c r="E12" s="2">
        <v>386.31107724811301</v>
      </c>
      <c r="F12" s="2">
        <v>909.92319654433697</v>
      </c>
      <c r="G12" s="2">
        <v>1148.86795330515</v>
      </c>
      <c r="H12" s="2"/>
      <c r="I12" s="2"/>
    </row>
    <row r="13" spans="1:9" x14ac:dyDescent="0.3">
      <c r="A13" t="s">
        <v>22</v>
      </c>
      <c r="B13" s="3" t="s">
        <v>22</v>
      </c>
      <c r="C13">
        <v>9</v>
      </c>
      <c r="D13" s="2">
        <v>852.52238849542096</v>
      </c>
      <c r="E13" s="2">
        <v>5462.4344582595804</v>
      </c>
      <c r="F13" s="2">
        <v>8337.2156854668792</v>
      </c>
      <c r="G13" s="2">
        <v>4445.0916303802496</v>
      </c>
      <c r="H13" s="2"/>
      <c r="I13" s="2"/>
    </row>
    <row r="14" spans="1:9" x14ac:dyDescent="0.3">
      <c r="A14" s="3" t="s">
        <v>23</v>
      </c>
      <c r="B14" s="3" t="s">
        <v>23</v>
      </c>
      <c r="C14">
        <v>15</v>
      </c>
      <c r="D14" s="2">
        <v>90.006871619112999</v>
      </c>
      <c r="E14" s="2">
        <v>141.76449990312099</v>
      </c>
      <c r="F14" s="2">
        <v>23.748504712916802</v>
      </c>
      <c r="G14" s="2">
        <v>1.99187480943502</v>
      </c>
      <c r="H14" s="2"/>
      <c r="I14" s="2"/>
    </row>
    <row r="15" spans="1:9" x14ac:dyDescent="0.3">
      <c r="A15" s="3" t="s">
        <v>24</v>
      </c>
      <c r="B15" s="3" t="s">
        <v>24</v>
      </c>
      <c r="C15">
        <v>16</v>
      </c>
      <c r="D15" s="2">
        <v>541.74884197443896</v>
      </c>
      <c r="E15" s="2">
        <v>1171.0050739897499</v>
      </c>
      <c r="F15" s="2">
        <v>181.319477323423</v>
      </c>
      <c r="G15" s="2">
        <v>27.4859708557359</v>
      </c>
      <c r="H15" s="2"/>
      <c r="I15" s="2"/>
    </row>
    <row r="16" spans="1:9" x14ac:dyDescent="0.3">
      <c r="A16" s="3" t="s">
        <v>25</v>
      </c>
      <c r="B16" s="3" t="s">
        <v>25</v>
      </c>
      <c r="C16">
        <v>8</v>
      </c>
      <c r="D16" s="2">
        <v>0</v>
      </c>
      <c r="E16" s="2">
        <v>0.100745070806252</v>
      </c>
      <c r="F16" s="2">
        <v>0.20078673326205701</v>
      </c>
      <c r="G16" s="2">
        <v>0.59650311210613105</v>
      </c>
      <c r="H16" s="2"/>
      <c r="I16" s="2"/>
    </row>
    <row r="17" spans="1:9" x14ac:dyDescent="0.3">
      <c r="A17" s="3" t="s">
        <v>26</v>
      </c>
      <c r="B17" s="3" t="s">
        <v>26</v>
      </c>
      <c r="C17">
        <v>11</v>
      </c>
      <c r="D17" s="2">
        <v>192.80305257306</v>
      </c>
      <c r="E17" s="2">
        <v>898.06171810148703</v>
      </c>
      <c r="F17" s="2">
        <v>768.93796700688495</v>
      </c>
      <c r="G17" s="2">
        <v>620.22209277602099</v>
      </c>
      <c r="H17" s="2"/>
      <c r="I17" s="2"/>
    </row>
    <row r="18" spans="1:9" x14ac:dyDescent="0.3">
      <c r="A18" s="3" t="s">
        <v>26</v>
      </c>
      <c r="B18" s="3" t="s">
        <v>31</v>
      </c>
      <c r="C18">
        <v>11</v>
      </c>
      <c r="D18" s="2">
        <v>0</v>
      </c>
      <c r="E18" s="2">
        <v>0.14893881016410401</v>
      </c>
      <c r="F18" s="2">
        <v>0.29126778564446199</v>
      </c>
      <c r="G18" s="2">
        <v>1.0842000469319699</v>
      </c>
      <c r="H18" s="2"/>
      <c r="I18" s="2"/>
    </row>
    <row r="19" spans="1:9" x14ac:dyDescent="0.3">
      <c r="A19" s="3" t="s">
        <v>28</v>
      </c>
      <c r="B19" s="3" t="s">
        <v>28</v>
      </c>
      <c r="C19">
        <v>12</v>
      </c>
      <c r="D19" s="2">
        <v>6.4157586516005702</v>
      </c>
      <c r="E19" s="2">
        <v>18.464991094815002</v>
      </c>
      <c r="F19" s="2">
        <v>34.6761201969911</v>
      </c>
      <c r="G19" s="2">
        <v>32.414663135061403</v>
      </c>
      <c r="H19" s="2"/>
      <c r="I19" s="2"/>
    </row>
    <row r="20" spans="1:9" x14ac:dyDescent="0.3">
      <c r="A20" s="3" t="s">
        <v>29</v>
      </c>
      <c r="B20" s="3" t="s">
        <v>29</v>
      </c>
      <c r="C20">
        <v>13</v>
      </c>
      <c r="D20" s="2">
        <v>2.9513152821666302</v>
      </c>
      <c r="E20" s="2">
        <v>42.488428944868097</v>
      </c>
      <c r="F20" s="2">
        <v>43.898496894288499</v>
      </c>
      <c r="G20" s="2">
        <v>72.481181574621999</v>
      </c>
      <c r="H20" s="2"/>
      <c r="I20" s="2"/>
    </row>
    <row r="21" spans="1:9" x14ac:dyDescent="0.3">
      <c r="A21" s="3" t="s">
        <v>30</v>
      </c>
      <c r="B21" s="3" t="s">
        <v>30</v>
      </c>
      <c r="C21">
        <v>17</v>
      </c>
      <c r="D21" s="2">
        <v>83.257051823706206</v>
      </c>
      <c r="E21" s="2">
        <v>278.62106081924702</v>
      </c>
      <c r="F21" s="2">
        <v>122.160865463855</v>
      </c>
      <c r="G21" s="2">
        <v>38.566208201731499</v>
      </c>
      <c r="H21" s="2"/>
      <c r="I21" s="2"/>
    </row>
    <row r="22" spans="1:9" x14ac:dyDescent="0.3">
      <c r="A22" t="s">
        <v>32</v>
      </c>
      <c r="B22" s="3" t="s">
        <v>32</v>
      </c>
      <c r="C22">
        <v>18</v>
      </c>
      <c r="D22" s="2">
        <v>6.5441718050158997</v>
      </c>
      <c r="E22" s="2">
        <v>14.1100931446479</v>
      </c>
      <c r="F22" s="2">
        <v>4.1224829614572904</v>
      </c>
      <c r="G22" s="2">
        <v>2.2195732660837102</v>
      </c>
      <c r="H22" s="2"/>
      <c r="I22" s="2"/>
    </row>
    <row r="23" spans="1:9" x14ac:dyDescent="0.3">
      <c r="A23" t="s">
        <v>36</v>
      </c>
      <c r="B23" s="3" t="s">
        <v>33</v>
      </c>
      <c r="C23">
        <v>20</v>
      </c>
      <c r="D23" s="2">
        <v>339.28755417165303</v>
      </c>
      <c r="E23" s="2">
        <v>1304.0118452379199</v>
      </c>
      <c r="F23" s="2">
        <v>1001.45800813602</v>
      </c>
      <c r="G23" s="2">
        <v>482.95247950948698</v>
      </c>
      <c r="H23" s="2"/>
      <c r="I23" s="2"/>
    </row>
    <row r="24" spans="1:9" x14ac:dyDescent="0.3">
      <c r="A24" t="s">
        <v>36</v>
      </c>
      <c r="B24" s="3" t="s">
        <v>34</v>
      </c>
      <c r="C24">
        <v>20</v>
      </c>
      <c r="D24" s="2">
        <v>203.69440094714599</v>
      </c>
      <c r="E24" s="2">
        <v>432.28725242969898</v>
      </c>
      <c r="F24" s="2">
        <v>437.99198716881199</v>
      </c>
      <c r="G24" s="2">
        <v>237.64874191075501</v>
      </c>
      <c r="H24" s="2"/>
      <c r="I24" s="2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988A6-ACDD-43DB-A440-30BA9F535948}">
  <dimension ref="A1:Z24"/>
  <sheetViews>
    <sheetView topLeftCell="I1" workbookViewId="0">
      <selection activeCell="U2" sqref="U2:X16"/>
    </sheetView>
  </sheetViews>
  <sheetFormatPr baseColWidth="10" defaultRowHeight="14.4" x14ac:dyDescent="0.3"/>
  <cols>
    <col min="1" max="1" width="27.88671875" customWidth="1"/>
    <col min="2" max="2" width="24.44140625" customWidth="1"/>
    <col min="9" max="9" width="35" customWidth="1"/>
  </cols>
  <sheetData>
    <row r="1" spans="1:26" ht="72" x14ac:dyDescent="0.3">
      <c r="A1" s="1" t="s">
        <v>0</v>
      </c>
      <c r="B1" s="1" t="s">
        <v>2</v>
      </c>
      <c r="C1" s="1" t="s">
        <v>1</v>
      </c>
      <c r="D1" s="1" t="s">
        <v>4</v>
      </c>
      <c r="E1" s="1" t="s">
        <v>5</v>
      </c>
      <c r="F1" s="1" t="s">
        <v>6</v>
      </c>
      <c r="G1" s="1" t="s">
        <v>7</v>
      </c>
      <c r="I1" s="1" t="s">
        <v>0</v>
      </c>
      <c r="J1" s="1" t="s">
        <v>1</v>
      </c>
      <c r="K1" s="1" t="s">
        <v>4</v>
      </c>
      <c r="L1" s="1" t="s">
        <v>5</v>
      </c>
      <c r="M1" s="1" t="s">
        <v>6</v>
      </c>
      <c r="N1" s="1" t="s">
        <v>7</v>
      </c>
      <c r="P1" s="1" t="s">
        <v>0</v>
      </c>
      <c r="Q1" s="1" t="s">
        <v>1</v>
      </c>
      <c r="R1" s="1" t="s">
        <v>41</v>
      </c>
      <c r="S1" s="1" t="s">
        <v>42</v>
      </c>
      <c r="U1" s="1" t="s">
        <v>0</v>
      </c>
      <c r="V1" s="1" t="s">
        <v>1</v>
      </c>
      <c r="W1" s="1" t="s">
        <v>41</v>
      </c>
      <c r="X1" s="1" t="s">
        <v>42</v>
      </c>
    </row>
    <row r="2" spans="1:26" x14ac:dyDescent="0.3">
      <c r="A2" t="s">
        <v>3</v>
      </c>
      <c r="B2" t="s">
        <v>3</v>
      </c>
      <c r="C2">
        <v>1</v>
      </c>
      <c r="D2">
        <v>1185</v>
      </c>
      <c r="E2" s="2">
        <v>2824.3546580759698</v>
      </c>
      <c r="F2" s="2">
        <v>737.20417131130898</v>
      </c>
      <c r="G2" s="2">
        <v>266.04208744717602</v>
      </c>
      <c r="I2" s="4" t="s">
        <v>3</v>
      </c>
      <c r="J2" s="2">
        <v>1</v>
      </c>
      <c r="K2">
        <v>1185</v>
      </c>
      <c r="L2" s="2">
        <v>2824.3546580759698</v>
      </c>
      <c r="M2" s="2">
        <v>737.20417131130898</v>
      </c>
      <c r="N2" s="2">
        <v>266.04208744717602</v>
      </c>
      <c r="P2" s="4" t="s">
        <v>3</v>
      </c>
      <c r="Q2" s="2">
        <v>1</v>
      </c>
      <c r="R2" s="4">
        <f>K2+L2+M2</f>
        <v>4746.5588293872788</v>
      </c>
      <c r="S2" s="2">
        <v>266</v>
      </c>
      <c r="U2" s="4" t="s">
        <v>3</v>
      </c>
      <c r="V2" s="2">
        <v>1</v>
      </c>
      <c r="W2">
        <f>R2*100/R$18</f>
        <v>9.215205246109587</v>
      </c>
      <c r="X2">
        <f>S2*100/S$18</f>
        <v>1.8267976100542545</v>
      </c>
      <c r="Z2" s="4"/>
    </row>
    <row r="3" spans="1:26" x14ac:dyDescent="0.3">
      <c r="A3" t="s">
        <v>11</v>
      </c>
      <c r="B3" t="s">
        <v>10</v>
      </c>
      <c r="C3" t="s">
        <v>8</v>
      </c>
      <c r="D3" s="2">
        <v>686.43442113557296</v>
      </c>
      <c r="E3" s="2">
        <v>5009.2308456604596</v>
      </c>
      <c r="F3" s="2">
        <v>3280.2091151199702</v>
      </c>
      <c r="G3" s="2">
        <v>2185.4344526479899</v>
      </c>
      <c r="I3" s="4" t="s">
        <v>11</v>
      </c>
      <c r="J3" t="s">
        <v>8</v>
      </c>
      <c r="K3" s="4">
        <f>D3+D4</f>
        <v>833.65875449653095</v>
      </c>
      <c r="L3" s="4">
        <f>E3+E4</f>
        <v>6710.0379645044595</v>
      </c>
      <c r="M3" s="4">
        <f>F3+F4</f>
        <v>5022.4489814831304</v>
      </c>
      <c r="N3" s="4">
        <f>G3+G4</f>
        <v>2859.5172898789219</v>
      </c>
      <c r="P3" s="4" t="s">
        <v>11</v>
      </c>
      <c r="Q3" t="s">
        <v>8</v>
      </c>
      <c r="R3" s="4">
        <f t="shared" ref="R3:R16" si="0">K3+L3+M3</f>
        <v>12566.145700484121</v>
      </c>
      <c r="S3" s="4">
        <v>2860</v>
      </c>
      <c r="U3" s="4" t="s">
        <v>11</v>
      </c>
      <c r="V3" t="s">
        <v>8</v>
      </c>
      <c r="W3">
        <f t="shared" ref="W3:W16" si="1">R3*100/R$18</f>
        <v>24.396539881804642</v>
      </c>
      <c r="X3">
        <f t="shared" ref="X3:X16" si="2">S3*100/S$18</f>
        <v>19.641508138177322</v>
      </c>
      <c r="Z3" s="4"/>
    </row>
    <row r="4" spans="1:26" x14ac:dyDescent="0.3">
      <c r="A4" t="s">
        <v>11</v>
      </c>
      <c r="B4" t="s">
        <v>9</v>
      </c>
      <c r="C4" t="s">
        <v>8</v>
      </c>
      <c r="D4" s="2">
        <v>147.22433336095801</v>
      </c>
      <c r="E4" s="2">
        <v>1700.8071188439999</v>
      </c>
      <c r="F4" s="2">
        <v>1742.23986636316</v>
      </c>
      <c r="G4" s="2">
        <v>674.082837230932</v>
      </c>
      <c r="I4" s="4" t="s">
        <v>13</v>
      </c>
      <c r="J4">
        <v>2</v>
      </c>
      <c r="K4" s="4">
        <f>D5+D6</f>
        <v>343.29056784548476</v>
      </c>
      <c r="L4" s="4">
        <f>E5+E6</f>
        <v>2022.9329924896724</v>
      </c>
      <c r="M4" s="4">
        <f>F5+F6</f>
        <v>4274.7492138254111</v>
      </c>
      <c r="N4" s="4">
        <f>G5+G6</f>
        <v>3214.401742845731</v>
      </c>
      <c r="P4" s="4" t="s">
        <v>13</v>
      </c>
      <c r="Q4">
        <v>2</v>
      </c>
      <c r="R4" s="4">
        <f t="shared" si="0"/>
        <v>6640.9727741605684</v>
      </c>
      <c r="S4" s="4">
        <v>3214</v>
      </c>
      <c r="U4" s="4" t="s">
        <v>13</v>
      </c>
      <c r="V4">
        <v>2</v>
      </c>
      <c r="W4">
        <f t="shared" si="1"/>
        <v>12.893114643143546</v>
      </c>
      <c r="X4">
        <f t="shared" si="2"/>
        <v>22.072659844790881</v>
      </c>
      <c r="Z4" s="4"/>
    </row>
    <row r="5" spans="1:26" x14ac:dyDescent="0.3">
      <c r="A5" t="s">
        <v>13</v>
      </c>
      <c r="B5" t="s">
        <v>12</v>
      </c>
      <c r="C5">
        <v>2</v>
      </c>
      <c r="D5" s="2">
        <v>343.184749601568</v>
      </c>
      <c r="E5" s="2">
        <v>2014.27359353055</v>
      </c>
      <c r="F5" s="2">
        <v>4244.54714948128</v>
      </c>
      <c r="G5" s="2">
        <v>3116.8988967045698</v>
      </c>
      <c r="I5" s="4" t="s">
        <v>37</v>
      </c>
      <c r="J5" t="s">
        <v>40</v>
      </c>
      <c r="K5" s="4">
        <f>D7+D8+D9+D10</f>
        <v>317.24546150235841</v>
      </c>
      <c r="L5" s="4">
        <f>E7+E8+E9+E10</f>
        <v>1374.6802681161842</v>
      </c>
      <c r="M5" s="4">
        <f>F7+F8+F9+F10</f>
        <v>1321.0024035648632</v>
      </c>
      <c r="N5" s="4">
        <f>G7+G8+G9+G10</f>
        <v>892.06687831531576</v>
      </c>
      <c r="P5" s="4" t="s">
        <v>37</v>
      </c>
      <c r="Q5" t="s">
        <v>40</v>
      </c>
      <c r="R5" s="4">
        <f t="shared" si="0"/>
        <v>3012.9281331834059</v>
      </c>
      <c r="S5" s="4">
        <v>892</v>
      </c>
      <c r="U5" s="4" t="s">
        <v>37</v>
      </c>
      <c r="V5" t="s">
        <v>40</v>
      </c>
      <c r="W5">
        <f t="shared" si="1"/>
        <v>5.8494484398178139</v>
      </c>
      <c r="X5">
        <f t="shared" si="2"/>
        <v>6.1259528878511089</v>
      </c>
      <c r="Z5" s="4"/>
    </row>
    <row r="6" spans="1:26" x14ac:dyDescent="0.3">
      <c r="A6" t="s">
        <v>13</v>
      </c>
      <c r="B6" s="3" t="s">
        <v>14</v>
      </c>
      <c r="C6">
        <v>2</v>
      </c>
      <c r="D6" s="2">
        <v>0.105818243916752</v>
      </c>
      <c r="E6" s="2">
        <v>8.6593989591223401</v>
      </c>
      <c r="F6" s="2">
        <v>30.202064344130701</v>
      </c>
      <c r="G6" s="2">
        <v>97.502846141161001</v>
      </c>
      <c r="I6" s="4" t="s">
        <v>21</v>
      </c>
      <c r="J6" t="s">
        <v>20</v>
      </c>
      <c r="K6" s="4">
        <f>D11+D12</f>
        <v>85.869561804899348</v>
      </c>
      <c r="L6" s="4">
        <f>E11+E12</f>
        <v>435.88009673631132</v>
      </c>
      <c r="M6" s="4">
        <f>F11+F12</f>
        <v>980.79411317608447</v>
      </c>
      <c r="N6" s="4">
        <f>G11+G12</f>
        <v>1366.6546582888041</v>
      </c>
      <c r="P6" s="4" t="s">
        <v>21</v>
      </c>
      <c r="Q6" t="s">
        <v>20</v>
      </c>
      <c r="R6" s="4">
        <f t="shared" si="0"/>
        <v>1502.5437717172952</v>
      </c>
      <c r="S6" s="4">
        <v>1367</v>
      </c>
      <c r="U6" s="4" t="s">
        <v>21</v>
      </c>
      <c r="V6" t="s">
        <v>20</v>
      </c>
      <c r="W6">
        <f t="shared" si="1"/>
        <v>2.9171131645756683</v>
      </c>
      <c r="X6">
        <f t="shared" si="2"/>
        <v>9.3880914772337061</v>
      </c>
      <c r="Z6" s="4"/>
    </row>
    <row r="7" spans="1:26" x14ac:dyDescent="0.3">
      <c r="A7" t="s">
        <v>37</v>
      </c>
      <c r="B7" t="s">
        <v>15</v>
      </c>
      <c r="C7">
        <v>4</v>
      </c>
      <c r="D7" s="2">
        <v>99.552023082781602</v>
      </c>
      <c r="E7" s="2">
        <v>667.14898764316899</v>
      </c>
      <c r="F7" s="2">
        <v>566.668078604774</v>
      </c>
      <c r="G7" s="2">
        <v>259.90953067957298</v>
      </c>
      <c r="I7" s="4" t="s">
        <v>22</v>
      </c>
      <c r="J7" s="2">
        <v>9</v>
      </c>
      <c r="K7" s="2">
        <v>852.52238849542096</v>
      </c>
      <c r="L7" s="2">
        <v>5462.4344582595804</v>
      </c>
      <c r="M7" s="2">
        <v>8337.2156854668792</v>
      </c>
      <c r="N7" s="2">
        <v>4445.0916303802496</v>
      </c>
      <c r="P7" s="4" t="s">
        <v>22</v>
      </c>
      <c r="Q7" s="2">
        <v>9</v>
      </c>
      <c r="R7" s="4">
        <f t="shared" si="0"/>
        <v>14652.172532221881</v>
      </c>
      <c r="S7" s="2">
        <v>4445</v>
      </c>
      <c r="U7" s="4" t="s">
        <v>22</v>
      </c>
      <c r="V7" s="2">
        <v>9</v>
      </c>
      <c r="W7">
        <f t="shared" si="1"/>
        <v>28.446456061993782</v>
      </c>
      <c r="X7">
        <f t="shared" si="2"/>
        <v>30.526749536432938</v>
      </c>
      <c r="Z7" s="4"/>
    </row>
    <row r="8" spans="1:26" x14ac:dyDescent="0.3">
      <c r="A8" t="s">
        <v>37</v>
      </c>
      <c r="B8" t="s">
        <v>16</v>
      </c>
      <c r="C8">
        <v>3</v>
      </c>
      <c r="D8" s="2">
        <v>28.368512435032901</v>
      </c>
      <c r="E8" s="2">
        <v>65.585850358602798</v>
      </c>
      <c r="F8" s="2">
        <v>71.008390777323399</v>
      </c>
      <c r="G8" s="2">
        <v>146.436923734121</v>
      </c>
      <c r="I8" s="4" t="s">
        <v>23</v>
      </c>
      <c r="J8" s="2">
        <v>15</v>
      </c>
      <c r="K8" s="2">
        <v>90.006871619112999</v>
      </c>
      <c r="L8" s="2">
        <v>141.76449990312099</v>
      </c>
      <c r="M8" s="2">
        <v>23.748504712916802</v>
      </c>
      <c r="N8" s="2">
        <v>1.99187480943502</v>
      </c>
      <c r="P8" s="4" t="s">
        <v>23</v>
      </c>
      <c r="Q8" s="2">
        <v>15</v>
      </c>
      <c r="R8" s="4">
        <f t="shared" si="0"/>
        <v>255.5198762351508</v>
      </c>
      <c r="S8" s="2">
        <v>2</v>
      </c>
      <c r="U8" s="4" t="s">
        <v>23</v>
      </c>
      <c r="V8" s="2">
        <v>15</v>
      </c>
      <c r="W8">
        <f t="shared" si="1"/>
        <v>0.49607898871684108</v>
      </c>
      <c r="X8">
        <f t="shared" si="2"/>
        <v>1.3735320376347778E-2</v>
      </c>
      <c r="Z8" s="4"/>
    </row>
    <row r="9" spans="1:26" x14ac:dyDescent="0.3">
      <c r="A9" t="s">
        <v>37</v>
      </c>
      <c r="B9" t="s">
        <v>17</v>
      </c>
      <c r="C9">
        <v>4</v>
      </c>
      <c r="D9" s="2">
        <v>63.585784912334901</v>
      </c>
      <c r="E9" s="2">
        <v>74.661349053753398</v>
      </c>
      <c r="F9" s="2">
        <v>70.419236844857906</v>
      </c>
      <c r="G9" s="2">
        <v>47.040637899838799</v>
      </c>
      <c r="I9" t="s">
        <v>24</v>
      </c>
      <c r="J9" s="2">
        <v>16</v>
      </c>
      <c r="K9" s="2">
        <v>541.74884197443896</v>
      </c>
      <c r="L9" s="2">
        <v>1171.0050739897499</v>
      </c>
      <c r="M9" s="2">
        <v>181.319477323423</v>
      </c>
      <c r="N9" s="2">
        <v>27.4859708557359</v>
      </c>
      <c r="P9" t="s">
        <v>24</v>
      </c>
      <c r="Q9" s="2">
        <v>16</v>
      </c>
      <c r="R9" s="4">
        <f t="shared" si="0"/>
        <v>1894.0733932876117</v>
      </c>
      <c r="S9" s="2">
        <v>27</v>
      </c>
      <c r="U9" t="s">
        <v>24</v>
      </c>
      <c r="V9" s="2">
        <v>16</v>
      </c>
      <c r="W9">
        <f t="shared" si="1"/>
        <v>3.6772482334520467</v>
      </c>
      <c r="X9">
        <f t="shared" si="2"/>
        <v>0.185426825080695</v>
      </c>
      <c r="Z9" s="4"/>
    </row>
    <row r="10" spans="1:26" x14ac:dyDescent="0.3">
      <c r="A10" t="s">
        <v>37</v>
      </c>
      <c r="B10" s="3" t="s">
        <v>27</v>
      </c>
      <c r="C10" t="s">
        <v>35</v>
      </c>
      <c r="D10" s="2">
        <v>125.73914107220899</v>
      </c>
      <c r="E10" s="2">
        <v>567.28408106065899</v>
      </c>
      <c r="F10" s="2">
        <v>612.90669733790799</v>
      </c>
      <c r="G10" s="2">
        <v>438.67978600178299</v>
      </c>
      <c r="I10" s="4" t="s">
        <v>25</v>
      </c>
      <c r="J10" s="2">
        <v>8</v>
      </c>
      <c r="K10" s="2">
        <v>0</v>
      </c>
      <c r="L10" s="2">
        <v>0.100745070806252</v>
      </c>
      <c r="M10" s="2">
        <v>0.20078673326205701</v>
      </c>
      <c r="N10" s="2">
        <v>0.59650311210613105</v>
      </c>
      <c r="P10" s="4" t="s">
        <v>25</v>
      </c>
      <c r="Q10" s="2">
        <v>8</v>
      </c>
      <c r="R10" s="4">
        <f t="shared" si="0"/>
        <v>0.30153180406830904</v>
      </c>
      <c r="S10" s="2">
        <v>1</v>
      </c>
      <c r="U10" s="4" t="s">
        <v>25</v>
      </c>
      <c r="V10" s="2">
        <v>8</v>
      </c>
      <c r="W10">
        <f t="shared" si="1"/>
        <v>5.8540883250315944E-4</v>
      </c>
      <c r="X10">
        <f t="shared" si="2"/>
        <v>6.8676601881738891E-3</v>
      </c>
      <c r="Z10" s="4"/>
    </row>
    <row r="11" spans="1:26" x14ac:dyDescent="0.3">
      <c r="A11" t="s">
        <v>21</v>
      </c>
      <c r="B11" t="s">
        <v>18</v>
      </c>
      <c r="C11">
        <v>5</v>
      </c>
      <c r="D11" s="2">
        <v>9.0689673210377393</v>
      </c>
      <c r="E11" s="2">
        <v>49.5690194881983</v>
      </c>
      <c r="F11" s="2">
        <v>70.870916631747505</v>
      </c>
      <c r="G11" s="2">
        <v>217.786704983654</v>
      </c>
      <c r="I11" s="4" t="s">
        <v>26</v>
      </c>
      <c r="J11" s="2">
        <v>11</v>
      </c>
      <c r="K11" s="4">
        <f>D17+D18</f>
        <v>192.80305257306</v>
      </c>
      <c r="L11" s="4">
        <f>E17+E18</f>
        <v>898.21065691165109</v>
      </c>
      <c r="M11" s="4">
        <f>F17+F18</f>
        <v>769.22923479252938</v>
      </c>
      <c r="N11" s="4">
        <f>G17+G18</f>
        <v>621.30629282295297</v>
      </c>
      <c r="P11" s="4" t="s">
        <v>26</v>
      </c>
      <c r="Q11" s="2">
        <v>11</v>
      </c>
      <c r="R11" s="4">
        <f t="shared" si="0"/>
        <v>1860.2429442772404</v>
      </c>
      <c r="S11" s="4">
        <v>621</v>
      </c>
      <c r="U11" s="4" t="s">
        <v>26</v>
      </c>
      <c r="V11" s="2">
        <v>11</v>
      </c>
      <c r="W11">
        <f t="shared" si="1"/>
        <v>3.6115681181507351</v>
      </c>
      <c r="X11">
        <f t="shared" si="2"/>
        <v>4.2648169768559852</v>
      </c>
      <c r="Z11" s="4"/>
    </row>
    <row r="12" spans="1:26" x14ac:dyDescent="0.3">
      <c r="A12" t="s">
        <v>21</v>
      </c>
      <c r="B12" s="3" t="s">
        <v>19</v>
      </c>
      <c r="C12" t="s">
        <v>20</v>
      </c>
      <c r="D12" s="2">
        <v>76.800594483861602</v>
      </c>
      <c r="E12" s="2">
        <v>386.31107724811301</v>
      </c>
      <c r="F12" s="2">
        <v>909.92319654433697</v>
      </c>
      <c r="G12" s="2">
        <v>1148.86795330515</v>
      </c>
      <c r="I12" s="4" t="s">
        <v>28</v>
      </c>
      <c r="J12" s="2">
        <v>12</v>
      </c>
      <c r="K12" s="2">
        <v>6.4157586516005702</v>
      </c>
      <c r="L12" s="2">
        <v>18.464991094815002</v>
      </c>
      <c r="M12" s="2">
        <v>34.6761201969911</v>
      </c>
      <c r="N12" s="2">
        <v>32.414663135061403</v>
      </c>
      <c r="P12" s="4" t="s">
        <v>28</v>
      </c>
      <c r="Q12" s="2">
        <v>12</v>
      </c>
      <c r="R12" s="4">
        <f t="shared" si="0"/>
        <v>59.556869943406667</v>
      </c>
      <c r="S12" s="2">
        <v>32</v>
      </c>
      <c r="U12" s="4" t="s">
        <v>28</v>
      </c>
      <c r="V12" s="2">
        <v>12</v>
      </c>
      <c r="W12">
        <f t="shared" si="1"/>
        <v>0.1156266676705647</v>
      </c>
      <c r="X12">
        <f t="shared" si="2"/>
        <v>0.21976512602156445</v>
      </c>
      <c r="Z12" s="4"/>
    </row>
    <row r="13" spans="1:26" x14ac:dyDescent="0.3">
      <c r="A13" t="s">
        <v>22</v>
      </c>
      <c r="B13" s="3" t="s">
        <v>22</v>
      </c>
      <c r="C13">
        <v>9</v>
      </c>
      <c r="D13" s="2">
        <v>852.52238849542096</v>
      </c>
      <c r="E13" s="2">
        <v>5462.4344582595804</v>
      </c>
      <c r="F13" s="2">
        <v>8337.2156854668792</v>
      </c>
      <c r="G13" s="2">
        <v>4445.0916303802496</v>
      </c>
      <c r="I13" s="4" t="s">
        <v>29</v>
      </c>
      <c r="J13" s="2">
        <v>13</v>
      </c>
      <c r="K13" s="2">
        <v>2.9513152821666302</v>
      </c>
      <c r="L13" s="2">
        <v>42.488428944868097</v>
      </c>
      <c r="M13" s="2">
        <v>43.898496894288499</v>
      </c>
      <c r="N13" s="2">
        <v>72.481181574621999</v>
      </c>
      <c r="P13" s="4" t="s">
        <v>29</v>
      </c>
      <c r="Q13" s="2">
        <v>13</v>
      </c>
      <c r="R13" s="4">
        <f t="shared" si="0"/>
        <v>89.338241121323222</v>
      </c>
      <c r="S13" s="2">
        <v>72</v>
      </c>
      <c r="U13" s="4" t="s">
        <v>29</v>
      </c>
      <c r="V13" s="2">
        <v>13</v>
      </c>
      <c r="W13">
        <f t="shared" si="1"/>
        <v>0.17344570200253789</v>
      </c>
      <c r="X13">
        <f t="shared" si="2"/>
        <v>0.49447153354852003</v>
      </c>
      <c r="Z13" s="4"/>
    </row>
    <row r="14" spans="1:26" x14ac:dyDescent="0.3">
      <c r="A14" s="3" t="s">
        <v>23</v>
      </c>
      <c r="B14" s="3" t="s">
        <v>23</v>
      </c>
      <c r="C14">
        <v>15</v>
      </c>
      <c r="D14" s="2">
        <v>90.006871619112999</v>
      </c>
      <c r="E14" s="2">
        <v>141.76449990312099</v>
      </c>
      <c r="F14" s="2">
        <v>23.748504712916802</v>
      </c>
      <c r="G14" s="2">
        <v>1.99187480943502</v>
      </c>
      <c r="I14" s="4" t="s">
        <v>30</v>
      </c>
      <c r="J14" s="2">
        <v>17</v>
      </c>
      <c r="K14" s="2">
        <v>83.257051823706206</v>
      </c>
      <c r="L14" s="2">
        <v>278.62106081924702</v>
      </c>
      <c r="M14" s="2">
        <v>122.160865463855</v>
      </c>
      <c r="N14" s="2">
        <v>38.566208201731499</v>
      </c>
      <c r="P14" s="4" t="s">
        <v>30</v>
      </c>
      <c r="Q14" s="2">
        <v>17</v>
      </c>
      <c r="R14" s="4">
        <f t="shared" si="0"/>
        <v>484.03897810680826</v>
      </c>
      <c r="S14" s="2">
        <v>39</v>
      </c>
      <c r="U14" s="4" t="s">
        <v>30</v>
      </c>
      <c r="V14" s="2">
        <v>17</v>
      </c>
      <c r="W14">
        <f t="shared" si="1"/>
        <v>0.93973733197091347</v>
      </c>
      <c r="X14">
        <f t="shared" si="2"/>
        <v>0.26783874733878166</v>
      </c>
      <c r="Z14" s="4"/>
    </row>
    <row r="15" spans="1:26" x14ac:dyDescent="0.3">
      <c r="A15" s="3" t="s">
        <v>24</v>
      </c>
      <c r="B15" s="3" t="s">
        <v>24</v>
      </c>
      <c r="C15">
        <v>16</v>
      </c>
      <c r="D15" s="2">
        <v>541.74884197443896</v>
      </c>
      <c r="E15" s="2">
        <v>1171.0050739897499</v>
      </c>
      <c r="F15" s="2">
        <v>181.319477323423</v>
      </c>
      <c r="G15" s="2">
        <v>27.4859708557359</v>
      </c>
      <c r="I15" s="4" t="s">
        <v>32</v>
      </c>
      <c r="J15" s="2">
        <v>18</v>
      </c>
      <c r="K15" s="2">
        <v>6.5441718050158997</v>
      </c>
      <c r="L15" s="2">
        <v>14.1100931446479</v>
      </c>
      <c r="M15" s="2">
        <v>4.1224829614572904</v>
      </c>
      <c r="N15" s="2">
        <v>2.2195732660837102</v>
      </c>
      <c r="P15" s="4" t="s">
        <v>32</v>
      </c>
      <c r="Q15" s="2">
        <v>18</v>
      </c>
      <c r="R15" s="4">
        <f t="shared" si="0"/>
        <v>24.776747911121088</v>
      </c>
      <c r="S15" s="2">
        <v>2</v>
      </c>
      <c r="U15" s="4" t="s">
        <v>32</v>
      </c>
      <c r="V15" s="2">
        <v>18</v>
      </c>
      <c r="W15">
        <f t="shared" si="1"/>
        <v>4.8102809959604233E-2</v>
      </c>
      <c r="X15">
        <f t="shared" si="2"/>
        <v>1.3735320376347778E-2</v>
      </c>
      <c r="Z15" s="4"/>
    </row>
    <row r="16" spans="1:26" x14ac:dyDescent="0.3">
      <c r="A16" s="3" t="s">
        <v>25</v>
      </c>
      <c r="B16" s="3" t="s">
        <v>25</v>
      </c>
      <c r="C16">
        <v>8</v>
      </c>
      <c r="D16" s="2">
        <v>0</v>
      </c>
      <c r="E16" s="2">
        <v>0.100745070806252</v>
      </c>
      <c r="F16" s="2">
        <v>0.20078673326205701</v>
      </c>
      <c r="G16" s="2">
        <v>0.59650311210613105</v>
      </c>
      <c r="I16" s="4" t="s">
        <v>36</v>
      </c>
      <c r="J16" s="2">
        <v>20</v>
      </c>
      <c r="K16" s="4">
        <f>D23+D24</f>
        <v>542.98195511879908</v>
      </c>
      <c r="L16" s="4">
        <f>E23+E24</f>
        <v>1736.299097667619</v>
      </c>
      <c r="M16" s="4">
        <f>F23+F24</f>
        <v>1439.4499953048321</v>
      </c>
      <c r="N16" s="4">
        <f>G23+G24</f>
        <v>720.60122142024193</v>
      </c>
      <c r="P16" s="4" t="s">
        <v>36</v>
      </c>
      <c r="Q16" s="2">
        <v>20</v>
      </c>
      <c r="R16" s="4">
        <f t="shared" si="0"/>
        <v>3718.7310480912502</v>
      </c>
      <c r="S16" s="4">
        <v>721</v>
      </c>
      <c r="U16" s="4" t="s">
        <v>36</v>
      </c>
      <c r="V16" s="2">
        <v>20</v>
      </c>
      <c r="W16">
        <f t="shared" si="1"/>
        <v>7.2197293017992097</v>
      </c>
      <c r="X16">
        <f t="shared" si="2"/>
        <v>4.9515829956733741</v>
      </c>
      <c r="Z16" s="4"/>
    </row>
    <row r="17" spans="1:19" x14ac:dyDescent="0.3">
      <c r="A17" s="3" t="s">
        <v>26</v>
      </c>
      <c r="B17" s="3" t="s">
        <v>26</v>
      </c>
      <c r="C17">
        <v>11</v>
      </c>
      <c r="D17" s="2">
        <v>192.80305257306</v>
      </c>
      <c r="E17" s="2">
        <v>898.06171810148703</v>
      </c>
      <c r="F17" s="2">
        <v>768.93796700688495</v>
      </c>
      <c r="G17" s="2">
        <v>620.22209277602099</v>
      </c>
      <c r="I17" s="4"/>
    </row>
    <row r="18" spans="1:19" ht="15" thickBot="1" x14ac:dyDescent="0.35">
      <c r="A18" s="3" t="s">
        <v>26</v>
      </c>
      <c r="B18" s="3" t="s">
        <v>31</v>
      </c>
      <c r="C18">
        <v>11</v>
      </c>
      <c r="D18" s="2">
        <v>0</v>
      </c>
      <c r="E18" s="2">
        <v>0.14893881016410401</v>
      </c>
      <c r="F18" s="2">
        <v>0.29126778564446199</v>
      </c>
      <c r="G18" s="2">
        <v>1.0842000469319699</v>
      </c>
      <c r="I18" s="4" t="s">
        <v>38</v>
      </c>
      <c r="K18">
        <f>SUM(K2:K16)</f>
        <v>5084.2957529925952</v>
      </c>
      <c r="L18">
        <f t="shared" ref="L18:S18" si="3">SUM(L2:L16)</f>
        <v>23131.385085728703</v>
      </c>
      <c r="M18">
        <f t="shared" si="3"/>
        <v>23292.220533211232</v>
      </c>
      <c r="N18">
        <f t="shared" si="3"/>
        <v>14561.437776354171</v>
      </c>
      <c r="R18">
        <f t="shared" si="3"/>
        <v>51507.90137193253</v>
      </c>
      <c r="S18">
        <f t="shared" si="3"/>
        <v>14561</v>
      </c>
    </row>
    <row r="19" spans="1:19" ht="15" thickTop="1" x14ac:dyDescent="0.3">
      <c r="A19" s="3" t="s">
        <v>28</v>
      </c>
      <c r="B19" s="3" t="s">
        <v>28</v>
      </c>
      <c r="C19">
        <v>12</v>
      </c>
      <c r="D19" s="2">
        <v>6.4157586516005702</v>
      </c>
      <c r="E19" s="2">
        <v>18.464991094815002</v>
      </c>
      <c r="F19" s="2">
        <v>34.6761201969911</v>
      </c>
      <c r="G19" s="2">
        <v>32.414663135061403</v>
      </c>
      <c r="I19" s="4" t="s">
        <v>39</v>
      </c>
      <c r="K19" s="5">
        <v>5189.9647679382297</v>
      </c>
      <c r="L19" s="5">
        <v>24139.174885562301</v>
      </c>
      <c r="M19" s="5">
        <v>23844.7900264741</v>
      </c>
      <c r="N19" s="5">
        <v>14731.2020534938</v>
      </c>
    </row>
    <row r="20" spans="1:19" x14ac:dyDescent="0.3">
      <c r="A20" s="3" t="s">
        <v>29</v>
      </c>
      <c r="B20" s="3" t="s">
        <v>29</v>
      </c>
      <c r="C20">
        <v>13</v>
      </c>
      <c r="D20" s="2">
        <v>2.9513152821666302</v>
      </c>
      <c r="E20" s="2">
        <v>42.488428944868097</v>
      </c>
      <c r="F20" s="2">
        <v>43.898496894288499</v>
      </c>
      <c r="G20" s="2">
        <v>72.481181574621999</v>
      </c>
      <c r="I20" s="4"/>
    </row>
    <row r="21" spans="1:19" x14ac:dyDescent="0.3">
      <c r="A21" s="3" t="s">
        <v>30</v>
      </c>
      <c r="B21" s="3" t="s">
        <v>30</v>
      </c>
      <c r="C21">
        <v>17</v>
      </c>
      <c r="D21" s="2">
        <v>83.257051823706206</v>
      </c>
      <c r="E21" s="2">
        <v>278.62106081924702</v>
      </c>
      <c r="F21" s="2">
        <v>122.160865463855</v>
      </c>
      <c r="G21" s="2">
        <v>38.566208201731499</v>
      </c>
      <c r="I21" s="4"/>
    </row>
    <row r="22" spans="1:19" x14ac:dyDescent="0.3">
      <c r="A22" t="s">
        <v>32</v>
      </c>
      <c r="B22" s="3" t="s">
        <v>32</v>
      </c>
      <c r="C22">
        <v>18</v>
      </c>
      <c r="D22" s="2">
        <v>6.5441718050158997</v>
      </c>
      <c r="E22" s="2">
        <v>14.1100931446479</v>
      </c>
      <c r="F22" s="2">
        <v>4.1224829614572904</v>
      </c>
      <c r="G22" s="2">
        <v>2.2195732660837102</v>
      </c>
      <c r="I22" s="4"/>
    </row>
    <row r="23" spans="1:19" x14ac:dyDescent="0.3">
      <c r="A23" t="s">
        <v>36</v>
      </c>
      <c r="B23" s="3" t="s">
        <v>33</v>
      </c>
      <c r="C23">
        <v>20</v>
      </c>
      <c r="D23" s="2">
        <v>339.28755417165303</v>
      </c>
      <c r="E23" s="2">
        <v>1304.0118452379199</v>
      </c>
      <c r="F23" s="2">
        <v>1001.45800813602</v>
      </c>
      <c r="G23" s="2">
        <v>482.95247950948698</v>
      </c>
      <c r="I23" s="4"/>
    </row>
    <row r="24" spans="1:19" x14ac:dyDescent="0.3">
      <c r="A24" t="s">
        <v>36</v>
      </c>
      <c r="B24" s="3" t="s">
        <v>34</v>
      </c>
      <c r="C24">
        <v>20</v>
      </c>
      <c r="D24" s="2">
        <v>203.69440094714599</v>
      </c>
      <c r="E24" s="2">
        <v>432.28725242969898</v>
      </c>
      <c r="F24" s="2">
        <v>437.99198716881199</v>
      </c>
      <c r="G24" s="2">
        <v>237.64874191075501</v>
      </c>
      <c r="I24" s="4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9A350-9689-4A97-964A-DDD3A3242BBA}">
  <dimension ref="A1:D19"/>
  <sheetViews>
    <sheetView tabSelected="1" workbookViewId="0">
      <selection activeCell="C6" sqref="C6"/>
    </sheetView>
  </sheetViews>
  <sheetFormatPr baseColWidth="10" defaultRowHeight="14.4" x14ac:dyDescent="0.3"/>
  <cols>
    <col min="1" max="1" width="37.5546875" customWidth="1"/>
  </cols>
  <sheetData>
    <row r="1" spans="1:4" x14ac:dyDescent="0.3">
      <c r="A1" t="s">
        <v>3</v>
      </c>
      <c r="B1">
        <v>1</v>
      </c>
    </row>
    <row r="2" spans="1:4" x14ac:dyDescent="0.3">
      <c r="A2" t="s">
        <v>11</v>
      </c>
      <c r="B2" t="s">
        <v>8</v>
      </c>
    </row>
    <row r="3" spans="1:4" x14ac:dyDescent="0.3">
      <c r="A3" t="s">
        <v>13</v>
      </c>
      <c r="B3">
        <v>2</v>
      </c>
    </row>
    <row r="4" spans="1:4" x14ac:dyDescent="0.3">
      <c r="A4" t="s">
        <v>37</v>
      </c>
      <c r="B4" t="s">
        <v>40</v>
      </c>
    </row>
    <row r="5" spans="1:4" x14ac:dyDescent="0.3">
      <c r="A5" t="s">
        <v>21</v>
      </c>
      <c r="B5" t="s">
        <v>20</v>
      </c>
    </row>
    <row r="6" spans="1:4" x14ac:dyDescent="0.3">
      <c r="A6" t="s">
        <v>22</v>
      </c>
      <c r="B6">
        <v>9</v>
      </c>
    </row>
    <row r="7" spans="1:4" x14ac:dyDescent="0.3">
      <c r="A7" t="s">
        <v>23</v>
      </c>
      <c r="B7">
        <v>15</v>
      </c>
      <c r="C7">
        <v>0.49607898900000003</v>
      </c>
      <c r="D7">
        <v>1.3735320000000001E-2</v>
      </c>
    </row>
    <row r="8" spans="1:4" x14ac:dyDescent="0.3">
      <c r="A8" t="s">
        <v>24</v>
      </c>
      <c r="B8">
        <v>16</v>
      </c>
      <c r="C8">
        <v>3.6772482329999998</v>
      </c>
      <c r="D8">
        <v>0.18542682499999999</v>
      </c>
    </row>
    <row r="9" spans="1:4" x14ac:dyDescent="0.3">
      <c r="A9" t="s">
        <v>25</v>
      </c>
      <c r="B9">
        <v>8</v>
      </c>
      <c r="C9">
        <v>5.8540899999999995E-4</v>
      </c>
      <c r="D9">
        <v>6.8676600000000003E-3</v>
      </c>
    </row>
    <row r="10" spans="1:4" x14ac:dyDescent="0.3">
      <c r="A10" t="s">
        <v>26</v>
      </c>
      <c r="B10">
        <v>11</v>
      </c>
      <c r="C10">
        <v>3.6115681180000001</v>
      </c>
      <c r="D10">
        <v>4.2648169769999997</v>
      </c>
    </row>
    <row r="11" spans="1:4" x14ac:dyDescent="0.3">
      <c r="A11" t="s">
        <v>28</v>
      </c>
      <c r="B11">
        <v>12</v>
      </c>
      <c r="C11">
        <v>0.115626668</v>
      </c>
      <c r="D11">
        <v>0.21976512600000001</v>
      </c>
    </row>
    <row r="12" spans="1:4" x14ac:dyDescent="0.3">
      <c r="A12" t="s">
        <v>29</v>
      </c>
      <c r="B12">
        <v>13</v>
      </c>
      <c r="C12">
        <v>0.17344570200000001</v>
      </c>
      <c r="D12">
        <v>0.49447153399999999</v>
      </c>
    </row>
    <row r="13" spans="1:4" x14ac:dyDescent="0.3">
      <c r="A13" t="s">
        <v>30</v>
      </c>
      <c r="B13">
        <v>17</v>
      </c>
      <c r="C13">
        <v>0.93973733199999998</v>
      </c>
      <c r="D13">
        <v>0.26783874699999999</v>
      </c>
    </row>
    <row r="14" spans="1:4" x14ac:dyDescent="0.3">
      <c r="A14" t="s">
        <v>32</v>
      </c>
      <c r="B14">
        <v>18</v>
      </c>
      <c r="C14">
        <v>4.8102810000000003E-2</v>
      </c>
      <c r="D14">
        <v>1.3735320000000001E-2</v>
      </c>
    </row>
    <row r="15" spans="1:4" x14ac:dyDescent="0.3">
      <c r="A15" t="s">
        <v>36</v>
      </c>
      <c r="B15">
        <v>20</v>
      </c>
      <c r="C15">
        <v>7.2197293020000002</v>
      </c>
      <c r="D15">
        <v>4.951582996</v>
      </c>
    </row>
    <row r="19" spans="3:4" x14ac:dyDescent="0.3">
      <c r="C19">
        <f>SUM(C1:C15)</f>
        <v>16.282122563000001</v>
      </c>
      <c r="D19">
        <f>SUM(D1:D15)</f>
        <v>10.418240505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AFF55-C9DE-4299-B06F-E3BAFF9A2D24}">
  <dimension ref="A1:B20"/>
  <sheetViews>
    <sheetView workbookViewId="0">
      <selection activeCell="P20" sqref="P20"/>
    </sheetView>
  </sheetViews>
  <sheetFormatPr baseColWidth="10" defaultRowHeight="14.4" x14ac:dyDescent="0.3"/>
  <cols>
    <col min="1" max="1" width="35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4" t="s">
        <v>3</v>
      </c>
      <c r="B2" s="2">
        <v>1</v>
      </c>
    </row>
    <row r="3" spans="1:2" x14ac:dyDescent="0.3">
      <c r="A3" s="4" t="s">
        <v>11</v>
      </c>
      <c r="B3">
        <v>10</v>
      </c>
    </row>
    <row r="4" spans="1:2" x14ac:dyDescent="0.3">
      <c r="A4" s="4" t="s">
        <v>11</v>
      </c>
      <c r="B4">
        <v>22</v>
      </c>
    </row>
    <row r="5" spans="1:2" x14ac:dyDescent="0.3">
      <c r="A5" s="4" t="s">
        <v>13</v>
      </c>
      <c r="B5">
        <v>2</v>
      </c>
    </row>
    <row r="6" spans="1:2" x14ac:dyDescent="0.3">
      <c r="A6" s="4" t="s">
        <v>37</v>
      </c>
      <c r="B6">
        <v>3</v>
      </c>
    </row>
    <row r="7" spans="1:2" x14ac:dyDescent="0.3">
      <c r="A7" s="4" t="s">
        <v>37</v>
      </c>
      <c r="B7">
        <v>4</v>
      </c>
    </row>
    <row r="8" spans="1:2" x14ac:dyDescent="0.3">
      <c r="A8" s="4" t="s">
        <v>37</v>
      </c>
      <c r="B8">
        <v>14</v>
      </c>
    </row>
    <row r="9" spans="1:2" x14ac:dyDescent="0.3">
      <c r="A9" s="4" t="s">
        <v>21</v>
      </c>
      <c r="B9">
        <v>5</v>
      </c>
    </row>
    <row r="10" spans="1:2" x14ac:dyDescent="0.3">
      <c r="A10" s="4" t="s">
        <v>21</v>
      </c>
      <c r="B10">
        <v>6</v>
      </c>
    </row>
    <row r="11" spans="1:2" x14ac:dyDescent="0.3">
      <c r="A11" s="4" t="s">
        <v>22</v>
      </c>
      <c r="B11" s="2">
        <v>9</v>
      </c>
    </row>
    <row r="12" spans="1:2" x14ac:dyDescent="0.3">
      <c r="A12" s="4" t="s">
        <v>23</v>
      </c>
      <c r="B12" s="2">
        <v>15</v>
      </c>
    </row>
    <row r="13" spans="1:2" x14ac:dyDescent="0.3">
      <c r="A13" t="s">
        <v>24</v>
      </c>
      <c r="B13" s="2">
        <v>16</v>
      </c>
    </row>
    <row r="14" spans="1:2" x14ac:dyDescent="0.3">
      <c r="A14" s="4" t="s">
        <v>25</v>
      </c>
      <c r="B14" s="2">
        <v>8</v>
      </c>
    </row>
    <row r="15" spans="1:2" x14ac:dyDescent="0.3">
      <c r="A15" s="4" t="s">
        <v>26</v>
      </c>
      <c r="B15" s="2">
        <v>11</v>
      </c>
    </row>
    <row r="16" spans="1:2" x14ac:dyDescent="0.3">
      <c r="A16" s="4" t="s">
        <v>28</v>
      </c>
      <c r="B16" s="2">
        <v>12</v>
      </c>
    </row>
    <row r="17" spans="1:2" x14ac:dyDescent="0.3">
      <c r="A17" s="4" t="s">
        <v>29</v>
      </c>
      <c r="B17" s="2">
        <v>13</v>
      </c>
    </row>
    <row r="18" spans="1:2" x14ac:dyDescent="0.3">
      <c r="A18" s="4" t="s">
        <v>30</v>
      </c>
      <c r="B18" s="2">
        <v>17</v>
      </c>
    </row>
    <row r="19" spans="1:2" x14ac:dyDescent="0.3">
      <c r="A19" s="4" t="s">
        <v>32</v>
      </c>
      <c r="B19" s="2">
        <v>18</v>
      </c>
    </row>
    <row r="20" spans="1:2" x14ac:dyDescent="0.3">
      <c r="A20" s="4" t="s">
        <v>36</v>
      </c>
      <c r="B20" s="2">
        <v>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Source</vt:lpstr>
      <vt:lpstr>Statistics</vt:lpstr>
      <vt:lpstr>Tabelle4</vt:lpstr>
      <vt:lpstr>Mapping</vt:lpstr>
    </vt:vector>
  </TitlesOfParts>
  <Company>Charité - Universitätsmedizin Berlin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Meurers, Thierry</dc:creator>
  <cp:lastModifiedBy>Meurers, Thierry</cp:lastModifiedBy>
  <dcterms:created xsi:type="dcterms:W3CDTF">2025-10-28T16:30:00Z</dcterms:created>
  <dcterms:modified xsi:type="dcterms:W3CDTF">2025-10-28T19:20:43Z</dcterms:modified>
</cp:coreProperties>
</file>